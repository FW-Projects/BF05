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<sst xmlns="http://schemas.openxmlformats.org/spreadsheetml/2006/main" count="56" uniqueCount="45">
  <si>
    <t>AT32F415RBT7_WorkBench</t>
  </si>
  <si>
    <t>lto-llvm-f6f87b.o</t>
  </si>
  <si>
    <t>startup_at32f415.o</t>
  </si>
  <si>
    <t>mf_w.l</t>
  </si>
  <si>
    <t>dadd.o</t>
  </si>
  <si>
    <t>mc_w.l</t>
  </si>
  <si>
    <t>dmul.o</t>
  </si>
  <si>
    <t>depilogue.o</t>
  </si>
  <si>
    <t>fadd.o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</si>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</sst>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ram_percent!$A$3:$A$37</c:f>
              <c:strCache>
                <c:ptCount val="35"/>
                <c:pt idx="0">
                  <c:v>lto-llvm-f6f87b.o</c:v>
                </c:pt>
                <c:pt idx="1">
                  <c:v>startup_at32f415.o</c:v>
                </c:pt>
                <c:pt idx="34">
                  <c:v>Totals</c:v>
                </c:pt>
              </c:strCache>
            </c:strRef>
          </c:cat>
          <c:val>
            <c:numRef>
              <c:f>ram_percent!$B$3:$B$37</c:f>
              <c:numCache>
                <c:formatCode>General</c:formatCode>
                <c:ptCount val="35"/>
                <c:pt idx="0">
                  <c:v>91.77840423583984</c:v>
                </c:pt>
                <c:pt idx="1">
                  <c:v>8.221597671508789</c:v>
                </c:pt>
                <c:pt idx="3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flash_percent!$A$3:$A$37</c:f>
              <c:strCache>
                <c:ptCount val="35"/>
                <c:pt idx="0">
                  <c:v>lto-llvm-f6f87b.o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depilogue.o</c:v>
                </c:pt>
                <c:pt idx="7">
                  <c:v>fadd.o</c:v>
                </c:pt>
                <c:pt idx="8">
                  <c:v>fepilogue.o</c:v>
                </c:pt>
                <c:pt idx="9">
                  <c:v>fmul.o</c:v>
                </c:pt>
                <c:pt idx="10">
                  <c:v>dfixi.o</c:v>
                </c:pt>
                <c:pt idx="11">
                  <c:v>d2f.o</c:v>
                </c:pt>
                <c:pt idx="12">
                  <c:v>dcmpgt.o</c:v>
                </c:pt>
                <c:pt idx="13">
                  <c:v>ffixi.o</c:v>
                </c:pt>
                <c:pt idx="14">
                  <c:v>dfixui.o</c:v>
                </c:pt>
                <c:pt idx="15">
                  <c:v>init.o</c:v>
                </c:pt>
                <c:pt idx="16">
                  <c:v>ffixui.o</c:v>
                </c:pt>
                <c:pt idx="17">
                  <c:v>f2d.o</c:v>
                </c:pt>
                <c:pt idx="18">
                  <c:v>memseta.o</c:v>
                </c:pt>
                <c:pt idx="19">
                  <c:v>llsshr.o</c:v>
                </c:pt>
                <c:pt idx="20">
                  <c:v>dflti.o</c:v>
                </c:pt>
                <c:pt idx="21">
                  <c:v>llushr.o</c:v>
                </c:pt>
                <c:pt idx="22">
                  <c:v>llshl.o</c:v>
                </c:pt>
                <c:pt idx="23">
                  <c:v>handlers.o</c:v>
                </c:pt>
                <c:pt idx="24">
                  <c:v>fcmplt.o</c:v>
                </c:pt>
                <c:pt idx="25">
                  <c:v>fcmple.o</c:v>
                </c:pt>
                <c:pt idx="26">
                  <c:v>fcmpgt.o</c:v>
                </c:pt>
                <c:pt idx="27">
                  <c:v>fcmpge.o</c:v>
                </c:pt>
                <c:pt idx="28">
                  <c:v>dfltui.o</c:v>
                </c:pt>
                <c:pt idx="29">
                  <c:v>fflti.o</c:v>
                </c:pt>
                <c:pt idx="30">
                  <c:v>ffltui.o</c:v>
                </c:pt>
                <c:pt idx="31">
                  <c:v>entry9a.o</c:v>
                </c:pt>
                <c:pt idx="32">
                  <c:v>entry2.o</c:v>
                </c:pt>
                <c:pt idx="33">
                  <c:v>entry5.o</c:v>
                </c:pt>
                <c:pt idx="34">
                  <c:v>Totals</c:v>
                </c:pt>
              </c:strCache>
            </c:strRef>
          </c:cat>
          <c:val>
            <c:numRef>
              <c:f>flash_percent!$B$3:$B$37</c:f>
              <c:numCache>
                <c:formatCode>General</c:formatCode>
                <c:ptCount val="35"/>
                <c:pt idx="0">
                  <c:v>94.03758239746094</c:v>
                </c:pt>
                <c:pt idx="1">
                  <c:v>2.370328664779663</c:v>
                </c:pt>
                <c:pt idx="2">
                  <c:v>0.5686536431312561</c:v>
                </c:pt>
                <c:pt idx="3">
                  <c:v>0.4701245725154877</c:v>
                </c:pt>
                <c:pt idx="4">
                  <c:v>0.3265535831451416</c:v>
                </c:pt>
                <c:pt idx="5">
                  <c:v>0.3209233582019806</c:v>
                </c:pt>
                <c:pt idx="6">
                  <c:v>0.2618058919906616</c:v>
                </c:pt>
                <c:pt idx="7">
                  <c:v>0.2477303147315979</c:v>
                </c:pt>
                <c:pt idx="8">
                  <c:v>0.1548314392566681</c:v>
                </c:pt>
                <c:pt idx="9">
                  <c:v>0.1407558619976044</c:v>
                </c:pt>
                <c:pt idx="10">
                  <c:v>0.08726863563060761</c:v>
                </c:pt>
                <c:pt idx="11">
                  <c:v>0.0788232833147049</c:v>
                </c:pt>
                <c:pt idx="12">
                  <c:v>0.07600816339254379</c:v>
                </c:pt>
                <c:pt idx="13">
                  <c:v>0.07037793099880219</c:v>
                </c:pt>
                <c:pt idx="14">
                  <c:v>0.07037793099880219</c:v>
                </c:pt>
                <c:pt idx="15">
                  <c:v>0.06756281107664108</c:v>
                </c:pt>
                <c:pt idx="16">
                  <c:v>0.05630234256386757</c:v>
                </c:pt>
                <c:pt idx="17">
                  <c:v>0.05348722636699677</c:v>
                </c:pt>
                <c:pt idx="18">
                  <c:v>0.05067211017012596</c:v>
                </c:pt>
                <c:pt idx="19">
                  <c:v>0.05067211017012596</c:v>
                </c:pt>
                <c:pt idx="20">
                  <c:v>0.04785699024796486</c:v>
                </c:pt>
                <c:pt idx="21">
                  <c:v>0.04504187405109406</c:v>
                </c:pt>
                <c:pt idx="22">
                  <c:v>0.04222675785422325</c:v>
                </c:pt>
                <c:pt idx="23">
                  <c:v>0.04222675785422325</c:v>
                </c:pt>
                <c:pt idx="24">
                  <c:v>0.03941164165735245</c:v>
                </c:pt>
                <c:pt idx="25">
                  <c:v>0.03941164165735245</c:v>
                </c:pt>
                <c:pt idx="26">
                  <c:v>0.03941164165735245</c:v>
                </c:pt>
                <c:pt idx="27">
                  <c:v>0.03941164165735245</c:v>
                </c:pt>
                <c:pt idx="28">
                  <c:v>0.03659652173519135</c:v>
                </c:pt>
                <c:pt idx="29">
                  <c:v>0.02533605508506298</c:v>
                </c:pt>
                <c:pt idx="30">
                  <c:v>0.01407558564096689</c:v>
                </c:pt>
                <c:pt idx="31">
                  <c:v>0.01126046851277351</c:v>
                </c:pt>
                <c:pt idx="32">
                  <c:v>0.01126046851277351</c:v>
                </c:pt>
                <c:pt idx="33">
                  <c:v>0.005630234256386757</c:v>
                </c:pt>
                <c:pt idx="3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7" totalsRowCount="1">
  <autoFilter ref="A2:H36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7" totalsRowCount="1">
  <autoFilter ref="A2:H36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7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35</v>
      </c>
      <c r="B2" t="s">
        <v>37</v>
      </c>
      <c r="C2" t="s">
        <v>38</v>
      </c>
      <c r="D2" t="s">
        <v>39</v>
      </c>
      <c r="E2" t="s">
        <v>40</v>
      </c>
      <c r="F2" t="s">
        <v>41</v>
      </c>
      <c r="G2" t="s">
        <v>42</v>
      </c>
      <c r="H2" t="s">
        <v>43</v>
      </c>
    </row>
    <row r="3" spans="1:8">
      <c r="A3" s="1" t="s">
        <v>1</v>
      </c>
      <c r="B3" s="2">
        <v>91.77840423583984</v>
      </c>
      <c r="C3" s="1">
        <v>11431</v>
      </c>
      <c r="D3" s="1">
        <v>66809</v>
      </c>
      <c r="E3" s="1">
        <v>66564</v>
      </c>
      <c r="F3" s="1">
        <v>90</v>
      </c>
      <c r="G3" s="1">
        <v>155</v>
      </c>
      <c r="H3" s="1">
        <v>11276</v>
      </c>
    </row>
    <row r="4" spans="1:8">
      <c r="A4" s="1" t="s">
        <v>2</v>
      </c>
      <c r="B4" s="2">
        <v>8.221597671508789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7" spans="1:8">
      <c r="A37" t="s">
        <v>36</v>
      </c>
      <c r="B37">
        <f>SUBTOTAL(109,[ram_percent])</f>
        <v>0</v>
      </c>
      <c r="C37">
        <f>SUBTOTAL(109,[ram])</f>
        <v>0</v>
      </c>
      <c r="D37">
        <f>SUBTOTAL(109,[flash])</f>
        <v>0</v>
      </c>
      <c r="E37">
        <f>SUBTOTAL(109,[Code])</f>
        <v>0</v>
      </c>
      <c r="F37">
        <f>SUBTOTAL(109,[RO_data])</f>
        <v>0</v>
      </c>
      <c r="G37">
        <f>SUBTOTAL(109,[RW_data])</f>
        <v>0</v>
      </c>
      <c r="H3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7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35</v>
      </c>
      <c r="B2" t="s">
        <v>44</v>
      </c>
      <c r="C2" t="s">
        <v>39</v>
      </c>
      <c r="D2" t="s">
        <v>38</v>
      </c>
      <c r="E2" t="s">
        <v>40</v>
      </c>
      <c r="F2" t="s">
        <v>41</v>
      </c>
      <c r="G2" t="s">
        <v>42</v>
      </c>
      <c r="H2" t="s">
        <v>43</v>
      </c>
    </row>
    <row r="3" spans="1:8">
      <c r="A3" s="1" t="s">
        <v>1</v>
      </c>
      <c r="B3" s="2">
        <v>94.03758239746094</v>
      </c>
      <c r="C3" s="1">
        <v>66809</v>
      </c>
      <c r="D3" s="1">
        <v>11431</v>
      </c>
      <c r="E3" s="1">
        <v>66564</v>
      </c>
      <c r="F3" s="1">
        <v>90</v>
      </c>
      <c r="G3" s="1">
        <v>155</v>
      </c>
      <c r="H3" s="1">
        <v>11276</v>
      </c>
    </row>
    <row r="4" spans="1:8">
      <c r="A4" s="1" t="s">
        <v>3</v>
      </c>
      <c r="B4" s="2">
        <v>2.370328664779663</v>
      </c>
      <c r="C4" s="1">
        <v>1684</v>
      </c>
      <c r="D4" s="1">
        <v>0</v>
      </c>
      <c r="E4" s="1">
        <v>1684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0.5686536431312561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0.4701245725154877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0.3265535831451416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0.3209233582019806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0.2618058919906616</v>
      </c>
      <c r="C9" s="1">
        <v>186</v>
      </c>
      <c r="D9" s="1">
        <v>0</v>
      </c>
      <c r="E9" s="1">
        <v>186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0.2477303147315979</v>
      </c>
      <c r="C10" s="1">
        <v>176</v>
      </c>
      <c r="D10" s="1">
        <v>0</v>
      </c>
      <c r="E10" s="1">
        <v>176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0.1548314392566681</v>
      </c>
      <c r="C11" s="1">
        <v>110</v>
      </c>
      <c r="D11" s="1">
        <v>0</v>
      </c>
      <c r="E11" s="1">
        <v>110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0.1407558619976044</v>
      </c>
      <c r="C12" s="1">
        <v>100</v>
      </c>
      <c r="D12" s="1">
        <v>0</v>
      </c>
      <c r="E12" s="1">
        <v>100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0.08726863563060761</v>
      </c>
      <c r="C13" s="1">
        <v>62</v>
      </c>
      <c r="D13" s="1">
        <v>0</v>
      </c>
      <c r="E13" s="1">
        <v>62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0.0788232833147049</v>
      </c>
      <c r="C14" s="1">
        <v>56</v>
      </c>
      <c r="D14" s="1">
        <v>0</v>
      </c>
      <c r="E14" s="1">
        <v>56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0.07600816339254379</v>
      </c>
      <c r="C15" s="1">
        <v>54</v>
      </c>
      <c r="D15" s="1">
        <v>0</v>
      </c>
      <c r="E15" s="1">
        <v>54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0.07037793099880219</v>
      </c>
      <c r="C16" s="1">
        <v>50</v>
      </c>
      <c r="D16" s="1">
        <v>0</v>
      </c>
      <c r="E16" s="1">
        <v>50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0.07037793099880219</v>
      </c>
      <c r="C17" s="1">
        <v>50</v>
      </c>
      <c r="D17" s="1">
        <v>0</v>
      </c>
      <c r="E17" s="1">
        <v>50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0.06756281107664108</v>
      </c>
      <c r="C18" s="1">
        <v>48</v>
      </c>
      <c r="D18" s="1">
        <v>0</v>
      </c>
      <c r="E18" s="1">
        <v>48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0.05630234256386757</v>
      </c>
      <c r="C19" s="1">
        <v>40</v>
      </c>
      <c r="D19" s="1">
        <v>0</v>
      </c>
      <c r="E19" s="1">
        <v>40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0.05348722636699677</v>
      </c>
      <c r="C20" s="1">
        <v>38</v>
      </c>
      <c r="D20" s="1">
        <v>0</v>
      </c>
      <c r="E20" s="1">
        <v>38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0.05067211017012596</v>
      </c>
      <c r="C21" s="1">
        <v>36</v>
      </c>
      <c r="D21" s="1">
        <v>0</v>
      </c>
      <c r="E21" s="1">
        <v>36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0.05067211017012596</v>
      </c>
      <c r="C22" s="1">
        <v>36</v>
      </c>
      <c r="D22" s="1">
        <v>0</v>
      </c>
      <c r="E22" s="1">
        <v>36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0.04785699024796486</v>
      </c>
      <c r="C23" s="1">
        <v>34</v>
      </c>
      <c r="D23" s="1">
        <v>0</v>
      </c>
      <c r="E23" s="1">
        <v>34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0.04504187405109406</v>
      </c>
      <c r="C24" s="1">
        <v>32</v>
      </c>
      <c r="D24" s="1">
        <v>0</v>
      </c>
      <c r="E24" s="1">
        <v>32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0.04222675785422325</v>
      </c>
      <c r="C25" s="1">
        <v>30</v>
      </c>
      <c r="D25" s="1">
        <v>0</v>
      </c>
      <c r="E25" s="1">
        <v>30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0.04222675785422325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0.03941164165735245</v>
      </c>
      <c r="C27" s="1">
        <v>28</v>
      </c>
      <c r="D27" s="1">
        <v>0</v>
      </c>
      <c r="E27" s="1">
        <v>28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0.03941164165735245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0.03941164165735245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0.03941164165735245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0.03659652173519135</v>
      </c>
      <c r="C31" s="1">
        <v>26</v>
      </c>
      <c r="D31" s="1">
        <v>0</v>
      </c>
      <c r="E31" s="1">
        <v>26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0.02533605508506298</v>
      </c>
      <c r="C32" s="1">
        <v>18</v>
      </c>
      <c r="D32" s="1">
        <v>0</v>
      </c>
      <c r="E32" s="1">
        <v>18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0.01407558564096689</v>
      </c>
      <c r="C33" s="1">
        <v>10</v>
      </c>
      <c r="D33" s="1">
        <v>0</v>
      </c>
      <c r="E33" s="1">
        <v>10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0.01126046851277351</v>
      </c>
      <c r="C34" s="1">
        <v>8</v>
      </c>
      <c r="D34" s="1">
        <v>0</v>
      </c>
      <c r="E34" s="1">
        <v>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0.01126046851277351</v>
      </c>
      <c r="C35" s="1">
        <v>8</v>
      </c>
      <c r="D35" s="1">
        <v>0</v>
      </c>
      <c r="E35" s="1">
        <v>8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0.005630234256386757</v>
      </c>
      <c r="C36" s="1">
        <v>4</v>
      </c>
      <c r="D36" s="1">
        <v>0</v>
      </c>
      <c r="E36" s="1">
        <v>4</v>
      </c>
      <c r="F36" s="1">
        <v>0</v>
      </c>
      <c r="G36" s="1">
        <v>0</v>
      </c>
      <c r="H36" s="1">
        <v>0</v>
      </c>
    </row>
    <row r="37" spans="1:8">
      <c r="A37" t="s">
        <v>36</v>
      </c>
      <c r="B37">
        <f>SUBTOTAL(109,[flash_percent])</f>
        <v>0</v>
      </c>
      <c r="C37">
        <f>SUBTOTAL(109,[flash])</f>
        <v>0</v>
      </c>
      <c r="D37">
        <f>SUBTOTAL(109,[ram])</f>
        <v>0</v>
      </c>
      <c r="E37">
        <f>SUBTOTAL(109,[Code])</f>
        <v>0</v>
      </c>
      <c r="F37">
        <f>SUBTOTAL(109,[RO_data])</f>
        <v>0</v>
      </c>
      <c r="G37">
        <f>SUBTOTAL(109,[RW_data])</f>
        <v>0</v>
      </c>
      <c r="H3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2026-06-10T02:02:25Z</dcterms:created>
  <dcterms:modified xsi:type="dcterms:W3CDTF">2026-06-10T02:02:25Z</dcterms:modified>
</cp:coreProperties>
</file>