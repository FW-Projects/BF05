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<sst xmlns="http://schemas.openxmlformats.org/spreadsheetml/2006/main" count="56" uniqueCount="45">
  <si>
    <t>AT32F415RBT7_WorkBench</t>
  </si>
  <si>
    <t>lto-llvm-3e4af7.o</t>
  </si>
  <si>
    <t>startup_at32f415.o</t>
  </si>
  <si>
    <t>mf_w.l</t>
  </si>
  <si>
    <t>dadd.o</t>
  </si>
  <si>
    <t>mc_w.l</t>
  </si>
  <si>
    <t>dmul.o</t>
  </si>
  <si>
    <t>depilogue.o</t>
  </si>
  <si>
    <t>fadd.o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</si>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</sst>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ram_percent!$A$3:$A$37</c:f>
              <c:strCache>
                <c:ptCount val="35"/>
                <c:pt idx="0">
                  <c:v>lto-llvm-3e4af7.o</c:v>
                </c:pt>
                <c:pt idx="1">
                  <c:v>startup_at32f415.o</c:v>
                </c:pt>
                <c:pt idx="34">
                  <c:v>Totals</c:v>
                </c:pt>
              </c:strCache>
            </c:strRef>
          </c:cat>
          <c:val>
            <c:numRef>
              <c:f>ram_percent!$B$3:$B$37</c:f>
              <c:numCache>
                <c:formatCode>General</c:formatCode>
                <c:ptCount val="35"/>
                <c:pt idx="0">
                  <c:v>91.76518249511719</c:v>
                </c:pt>
                <c:pt idx="1">
                  <c:v>8.234821319580078</c:v>
                </c:pt>
                <c:pt idx="3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flash_percent!$A$3:$A$37</c:f>
              <c:strCache>
                <c:ptCount val="35"/>
                <c:pt idx="0">
                  <c:v>lto-llvm-3e4af7.o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depilogue.o</c:v>
                </c:pt>
                <c:pt idx="7">
                  <c:v>fadd.o</c:v>
                </c:pt>
                <c:pt idx="8">
                  <c:v>fepilogue.o</c:v>
                </c:pt>
                <c:pt idx="9">
                  <c:v>fmul.o</c:v>
                </c:pt>
                <c:pt idx="10">
                  <c:v>dfixi.o</c:v>
                </c:pt>
                <c:pt idx="11">
                  <c:v>d2f.o</c:v>
                </c:pt>
                <c:pt idx="12">
                  <c:v>dcmpgt.o</c:v>
                </c:pt>
                <c:pt idx="13">
                  <c:v>ffixi.o</c:v>
                </c:pt>
                <c:pt idx="14">
                  <c:v>dfixui.o</c:v>
                </c:pt>
                <c:pt idx="15">
                  <c:v>init.o</c:v>
                </c:pt>
                <c:pt idx="16">
                  <c:v>ffixui.o</c:v>
                </c:pt>
                <c:pt idx="17">
                  <c:v>f2d.o</c:v>
                </c:pt>
                <c:pt idx="18">
                  <c:v>memseta.o</c:v>
                </c:pt>
                <c:pt idx="19">
                  <c:v>llsshr.o</c:v>
                </c:pt>
                <c:pt idx="20">
                  <c:v>dflti.o</c:v>
                </c:pt>
                <c:pt idx="21">
                  <c:v>llushr.o</c:v>
                </c:pt>
                <c:pt idx="22">
                  <c:v>llshl.o</c:v>
                </c:pt>
                <c:pt idx="23">
                  <c:v>handlers.o</c:v>
                </c:pt>
                <c:pt idx="24">
                  <c:v>fcmplt.o</c:v>
                </c:pt>
                <c:pt idx="25">
                  <c:v>fcmple.o</c:v>
                </c:pt>
                <c:pt idx="26">
                  <c:v>fcmpgt.o</c:v>
                </c:pt>
                <c:pt idx="27">
                  <c:v>fcmpge.o</c:v>
                </c:pt>
                <c:pt idx="28">
                  <c:v>dfltui.o</c:v>
                </c:pt>
                <c:pt idx="29">
                  <c:v>fflti.o</c:v>
                </c:pt>
                <c:pt idx="30">
                  <c:v>ffltui.o</c:v>
                </c:pt>
                <c:pt idx="31">
                  <c:v>entry9a.o</c:v>
                </c:pt>
                <c:pt idx="32">
                  <c:v>entry2.o</c:v>
                </c:pt>
                <c:pt idx="33">
                  <c:v>entry5.o</c:v>
                </c:pt>
                <c:pt idx="34">
                  <c:v>Totals</c:v>
                </c:pt>
              </c:strCache>
            </c:strRef>
          </c:cat>
          <c:val>
            <c:numRef>
              <c:f>flash_percent!$B$3:$B$37</c:f>
              <c:numCache>
                <c:formatCode>General</c:formatCode>
                <c:ptCount val="35"/>
                <c:pt idx="0">
                  <c:v>94.00738525390625</c:v>
                </c:pt>
                <c:pt idx="1">
                  <c:v>2.382333278656006</c:v>
                </c:pt>
                <c:pt idx="2">
                  <c:v>0.5715336799621582</c:v>
                </c:pt>
                <c:pt idx="3">
                  <c:v>0.4725055396556854</c:v>
                </c:pt>
                <c:pt idx="4">
                  <c:v>0.3282074630260468</c:v>
                </c:pt>
                <c:pt idx="5">
                  <c:v>0.3225486874580383</c:v>
                </c:pt>
                <c:pt idx="6">
                  <c:v>0.2631318271160126</c:v>
                </c:pt>
                <c:pt idx="7">
                  <c:v>0.2489849627017975</c:v>
                </c:pt>
                <c:pt idx="8">
                  <c:v>0.1556155979633331</c:v>
                </c:pt>
                <c:pt idx="9">
                  <c:v>0.141468733549118</c:v>
                </c:pt>
                <c:pt idx="10">
                  <c:v>0.08771061152219772</c:v>
                </c:pt>
                <c:pt idx="11">
                  <c:v>0.07922248542308807</c:v>
                </c:pt>
                <c:pt idx="12">
                  <c:v>0.07639311254024506</c:v>
                </c:pt>
                <c:pt idx="13">
                  <c:v>0.07073436677455902</c:v>
                </c:pt>
                <c:pt idx="14">
                  <c:v>0.07073436677455902</c:v>
                </c:pt>
                <c:pt idx="15">
                  <c:v>0.06790498644113541</c:v>
                </c:pt>
                <c:pt idx="16">
                  <c:v>0.05658749118447304</c:v>
                </c:pt>
                <c:pt idx="17">
                  <c:v>0.05375811830163002</c:v>
                </c:pt>
                <c:pt idx="18">
                  <c:v>0.0509287416934967</c:v>
                </c:pt>
                <c:pt idx="19">
                  <c:v>0.0509287416934967</c:v>
                </c:pt>
                <c:pt idx="20">
                  <c:v>0.04809936881065369</c:v>
                </c:pt>
                <c:pt idx="21">
                  <c:v>0.04526999220252037</c:v>
                </c:pt>
                <c:pt idx="22">
                  <c:v>0.04244061931967735</c:v>
                </c:pt>
                <c:pt idx="23">
                  <c:v>0.04244061931967735</c:v>
                </c:pt>
                <c:pt idx="24">
                  <c:v>0.03961124271154404</c:v>
                </c:pt>
                <c:pt idx="25">
                  <c:v>0.03961124271154404</c:v>
                </c:pt>
                <c:pt idx="26">
                  <c:v>0.03961124271154404</c:v>
                </c:pt>
                <c:pt idx="27">
                  <c:v>0.03961124271154404</c:v>
                </c:pt>
                <c:pt idx="28">
                  <c:v>0.03678186982870102</c:v>
                </c:pt>
                <c:pt idx="29">
                  <c:v>0.02546437084674835</c:v>
                </c:pt>
                <c:pt idx="30">
                  <c:v>0.01414687279611826</c:v>
                </c:pt>
                <c:pt idx="31">
                  <c:v>0.01131749805063009</c:v>
                </c:pt>
                <c:pt idx="32">
                  <c:v>0.01131749805063009</c:v>
                </c:pt>
                <c:pt idx="33">
                  <c:v>0.005658749025315046</c:v>
                </c:pt>
                <c:pt idx="3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7" totalsRowCount="1">
  <autoFilter ref="A2:H36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7" totalsRowCount="1">
  <autoFilter ref="A2:H36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7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35</v>
      </c>
      <c r="B2" t="s">
        <v>37</v>
      </c>
      <c r="C2" t="s">
        <v>38</v>
      </c>
      <c r="D2" t="s">
        <v>39</v>
      </c>
      <c r="E2" t="s">
        <v>40</v>
      </c>
      <c r="F2" t="s">
        <v>41</v>
      </c>
      <c r="G2" t="s">
        <v>42</v>
      </c>
      <c r="H2" t="s">
        <v>43</v>
      </c>
    </row>
    <row r="3" spans="1:8">
      <c r="A3" s="1" t="s">
        <v>1</v>
      </c>
      <c r="B3" s="2">
        <v>91.76518249511719</v>
      </c>
      <c r="C3" s="1">
        <v>11411</v>
      </c>
      <c r="D3" s="1">
        <v>66451</v>
      </c>
      <c r="E3" s="1">
        <v>66206</v>
      </c>
      <c r="F3" s="1">
        <v>90</v>
      </c>
      <c r="G3" s="1">
        <v>155</v>
      </c>
      <c r="H3" s="1">
        <v>11256</v>
      </c>
    </row>
    <row r="4" spans="1:8">
      <c r="A4" s="1" t="s">
        <v>2</v>
      </c>
      <c r="B4" s="2">
        <v>8.234821319580078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7" spans="1:8">
      <c r="A37" t="s">
        <v>36</v>
      </c>
      <c r="B37">
        <f>SUBTOTAL(109,[ram_percent])</f>
        <v>0</v>
      </c>
      <c r="C37">
        <f>SUBTOTAL(109,[ram])</f>
        <v>0</v>
      </c>
      <c r="D37">
        <f>SUBTOTAL(109,[flash])</f>
        <v>0</v>
      </c>
      <c r="E37">
        <f>SUBTOTAL(109,[Code])</f>
        <v>0</v>
      </c>
      <c r="F37">
        <f>SUBTOTAL(109,[RO_data])</f>
        <v>0</v>
      </c>
      <c r="G37">
        <f>SUBTOTAL(109,[RW_data])</f>
        <v>0</v>
      </c>
      <c r="H3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7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35</v>
      </c>
      <c r="B2" t="s">
        <v>44</v>
      </c>
      <c r="C2" t="s">
        <v>39</v>
      </c>
      <c r="D2" t="s">
        <v>38</v>
      </c>
      <c r="E2" t="s">
        <v>40</v>
      </c>
      <c r="F2" t="s">
        <v>41</v>
      </c>
      <c r="G2" t="s">
        <v>42</v>
      </c>
      <c r="H2" t="s">
        <v>43</v>
      </c>
    </row>
    <row r="3" spans="1:8">
      <c r="A3" s="1" t="s">
        <v>1</v>
      </c>
      <c r="B3" s="2">
        <v>94.00738525390625</v>
      </c>
      <c r="C3" s="1">
        <v>66451</v>
      </c>
      <c r="D3" s="1">
        <v>11411</v>
      </c>
      <c r="E3" s="1">
        <v>66206</v>
      </c>
      <c r="F3" s="1">
        <v>90</v>
      </c>
      <c r="G3" s="1">
        <v>155</v>
      </c>
      <c r="H3" s="1">
        <v>11256</v>
      </c>
    </row>
    <row r="4" spans="1:8">
      <c r="A4" s="1" t="s">
        <v>3</v>
      </c>
      <c r="B4" s="2">
        <v>2.382333278656006</v>
      </c>
      <c r="C4" s="1">
        <v>1684</v>
      </c>
      <c r="D4" s="1">
        <v>0</v>
      </c>
      <c r="E4" s="1">
        <v>1684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0.5715336799621582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0.4725055396556854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0.3282074630260468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0.3225486874580383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0.2631318271160126</v>
      </c>
      <c r="C9" s="1">
        <v>186</v>
      </c>
      <c r="D9" s="1">
        <v>0</v>
      </c>
      <c r="E9" s="1">
        <v>186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0.2489849627017975</v>
      </c>
      <c r="C10" s="1">
        <v>176</v>
      </c>
      <c r="D10" s="1">
        <v>0</v>
      </c>
      <c r="E10" s="1">
        <v>176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0.1556155979633331</v>
      </c>
      <c r="C11" s="1">
        <v>110</v>
      </c>
      <c r="D11" s="1">
        <v>0</v>
      </c>
      <c r="E11" s="1">
        <v>110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0.141468733549118</v>
      </c>
      <c r="C12" s="1">
        <v>100</v>
      </c>
      <c r="D12" s="1">
        <v>0</v>
      </c>
      <c r="E12" s="1">
        <v>100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0.08771061152219772</v>
      </c>
      <c r="C13" s="1">
        <v>62</v>
      </c>
      <c r="D13" s="1">
        <v>0</v>
      </c>
      <c r="E13" s="1">
        <v>62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0.07922248542308807</v>
      </c>
      <c r="C14" s="1">
        <v>56</v>
      </c>
      <c r="D14" s="1">
        <v>0</v>
      </c>
      <c r="E14" s="1">
        <v>56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0.07639311254024506</v>
      </c>
      <c r="C15" s="1">
        <v>54</v>
      </c>
      <c r="D15" s="1">
        <v>0</v>
      </c>
      <c r="E15" s="1">
        <v>54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0.07073436677455902</v>
      </c>
      <c r="C16" s="1">
        <v>50</v>
      </c>
      <c r="D16" s="1">
        <v>0</v>
      </c>
      <c r="E16" s="1">
        <v>50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0.07073436677455902</v>
      </c>
      <c r="C17" s="1">
        <v>50</v>
      </c>
      <c r="D17" s="1">
        <v>0</v>
      </c>
      <c r="E17" s="1">
        <v>50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0.06790498644113541</v>
      </c>
      <c r="C18" s="1">
        <v>48</v>
      </c>
      <c r="D18" s="1">
        <v>0</v>
      </c>
      <c r="E18" s="1">
        <v>48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0.05658749118447304</v>
      </c>
      <c r="C19" s="1">
        <v>40</v>
      </c>
      <c r="D19" s="1">
        <v>0</v>
      </c>
      <c r="E19" s="1">
        <v>40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0.05375811830163002</v>
      </c>
      <c r="C20" s="1">
        <v>38</v>
      </c>
      <c r="D20" s="1">
        <v>0</v>
      </c>
      <c r="E20" s="1">
        <v>38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0.0509287416934967</v>
      </c>
      <c r="C21" s="1">
        <v>36</v>
      </c>
      <c r="D21" s="1">
        <v>0</v>
      </c>
      <c r="E21" s="1">
        <v>36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0.0509287416934967</v>
      </c>
      <c r="C22" s="1">
        <v>36</v>
      </c>
      <c r="D22" s="1">
        <v>0</v>
      </c>
      <c r="E22" s="1">
        <v>36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0.04809936881065369</v>
      </c>
      <c r="C23" s="1">
        <v>34</v>
      </c>
      <c r="D23" s="1">
        <v>0</v>
      </c>
      <c r="E23" s="1">
        <v>34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0.04526999220252037</v>
      </c>
      <c r="C24" s="1">
        <v>32</v>
      </c>
      <c r="D24" s="1">
        <v>0</v>
      </c>
      <c r="E24" s="1">
        <v>32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0.04244061931967735</v>
      </c>
      <c r="C25" s="1">
        <v>30</v>
      </c>
      <c r="D25" s="1">
        <v>0</v>
      </c>
      <c r="E25" s="1">
        <v>30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0.04244061931967735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0.03961124271154404</v>
      </c>
      <c r="C27" s="1">
        <v>28</v>
      </c>
      <c r="D27" s="1">
        <v>0</v>
      </c>
      <c r="E27" s="1">
        <v>28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0.03961124271154404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0.03961124271154404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0.03961124271154404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0.03678186982870102</v>
      </c>
      <c r="C31" s="1">
        <v>26</v>
      </c>
      <c r="D31" s="1">
        <v>0</v>
      </c>
      <c r="E31" s="1">
        <v>26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0.02546437084674835</v>
      </c>
      <c r="C32" s="1">
        <v>18</v>
      </c>
      <c r="D32" s="1">
        <v>0</v>
      </c>
      <c r="E32" s="1">
        <v>18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0.01414687279611826</v>
      </c>
      <c r="C33" s="1">
        <v>10</v>
      </c>
      <c r="D33" s="1">
        <v>0</v>
      </c>
      <c r="E33" s="1">
        <v>10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0.01131749805063009</v>
      </c>
      <c r="C34" s="1">
        <v>8</v>
      </c>
      <c r="D34" s="1">
        <v>0</v>
      </c>
      <c r="E34" s="1">
        <v>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0.01131749805063009</v>
      </c>
      <c r="C35" s="1">
        <v>8</v>
      </c>
      <c r="D35" s="1">
        <v>0</v>
      </c>
      <c r="E35" s="1">
        <v>8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0.005658749025315046</v>
      </c>
      <c r="C36" s="1">
        <v>4</v>
      </c>
      <c r="D36" s="1">
        <v>0</v>
      </c>
      <c r="E36" s="1">
        <v>4</v>
      </c>
      <c r="F36" s="1">
        <v>0</v>
      </c>
      <c r="G36" s="1">
        <v>0</v>
      </c>
      <c r="H36" s="1">
        <v>0</v>
      </c>
    </row>
    <row r="37" spans="1:8">
      <c r="A37" t="s">
        <v>36</v>
      </c>
      <c r="B37">
        <f>SUBTOTAL(109,[flash_percent])</f>
        <v>0</v>
      </c>
      <c r="C37">
        <f>SUBTOTAL(109,[flash])</f>
        <v>0</v>
      </c>
      <c r="D37">
        <f>SUBTOTAL(109,[ram])</f>
        <v>0</v>
      </c>
      <c r="E37">
        <f>SUBTOTAL(109,[Code])</f>
        <v>0</v>
      </c>
      <c r="F37">
        <f>SUBTOTAL(109,[RO_data])</f>
        <v>0</v>
      </c>
      <c r="G37">
        <f>SUBTOTAL(109,[RW_data])</f>
        <v>0</v>
      </c>
      <c r="H3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2026-06-01T08:00:39Z</dcterms:created>
  <dcterms:modified xsi:type="dcterms:W3CDTF">2026-06-01T08:00:39Z</dcterms:modified>
</cp:coreProperties>
</file>